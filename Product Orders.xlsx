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8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KhengYee/Trainer/Jobs/202512 Iverson Dell/Dummy Data/"/>
    </mc:Choice>
  </mc:AlternateContent>
  <xr:revisionPtr revIDLastSave="110" documentId="11_F25DC773A252ABDACC10486089DA71325BDE58E7" xr6:coauthVersionLast="47" xr6:coauthVersionMax="47" xr10:uidLastSave="{44A626B7-290D-4357-ADC0-402ECFC56ED4}"/>
  <bookViews>
    <workbookView xWindow="-96" yWindow="0" windowWidth="20832" windowHeight="16656" firstSheet="2" activeTab="2" xr2:uid="{00000000-000D-0000-FFFF-FFFF00000000}"/>
  </bookViews>
  <sheets>
    <sheet name="Xlookup" sheetId="3" r:id="rId1"/>
    <sheet name="Clean Data" sheetId="4" r:id="rId2"/>
    <sheet name="Customer Feedback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4" l="1"/>
  <c r="O20" i="4"/>
  <c r="O7" i="4"/>
  <c r="O2" i="4"/>
  <c r="O6" i="4"/>
  <c r="O5" i="4"/>
  <c r="O13" i="4"/>
  <c r="O9" i="4"/>
  <c r="O10" i="4"/>
  <c r="O22" i="4"/>
  <c r="O23" i="4"/>
  <c r="O21" i="4"/>
  <c r="O19" i="4"/>
  <c r="O8" i="4"/>
  <c r="O14" i="4"/>
  <c r="O3" i="4"/>
  <c r="O15" i="4"/>
  <c r="O18" i="4"/>
  <c r="O4" i="4"/>
  <c r="O17" i="4"/>
  <c r="O16" i="4"/>
  <c r="O24" i="4"/>
  <c r="O11" i="4"/>
  <c r="N12" i="4"/>
  <c r="N20" i="4"/>
  <c r="N7" i="4"/>
  <c r="N2" i="4"/>
  <c r="N6" i="4"/>
  <c r="N5" i="4"/>
  <c r="N13" i="4"/>
  <c r="N9" i="4"/>
  <c r="N10" i="4"/>
  <c r="N22" i="4"/>
  <c r="N23" i="4"/>
  <c r="N21" i="4"/>
  <c r="N19" i="4"/>
  <c r="N8" i="4"/>
  <c r="N14" i="4"/>
  <c r="N3" i="4"/>
  <c r="N15" i="4"/>
  <c r="N18" i="4"/>
  <c r="N4" i="4"/>
  <c r="N17" i="4"/>
  <c r="N16" i="4"/>
  <c r="N24" i="4"/>
  <c r="N11" i="4"/>
  <c r="M12" i="4"/>
  <c r="M20" i="4"/>
  <c r="M7" i="4"/>
  <c r="M2" i="4"/>
  <c r="M6" i="4"/>
  <c r="M5" i="4"/>
  <c r="M13" i="4"/>
  <c r="M9" i="4"/>
  <c r="M10" i="4"/>
  <c r="M22" i="4"/>
  <c r="M23" i="4"/>
  <c r="M21" i="4"/>
  <c r="M19" i="4"/>
  <c r="M8" i="4"/>
  <c r="M14" i="4"/>
  <c r="M3" i="4"/>
  <c r="M15" i="4"/>
  <c r="M18" i="4"/>
  <c r="M4" i="4"/>
  <c r="M17" i="4"/>
  <c r="M16" i="4"/>
  <c r="M24" i="4"/>
  <c r="M11" i="4"/>
  <c r="L12" i="4"/>
  <c r="L20" i="4"/>
  <c r="L7" i="4"/>
  <c r="L2" i="4"/>
  <c r="L6" i="4"/>
  <c r="L5" i="4"/>
  <c r="L13" i="4"/>
  <c r="L9" i="4"/>
  <c r="L10" i="4"/>
  <c r="L22" i="4"/>
  <c r="L23" i="4"/>
  <c r="L21" i="4"/>
  <c r="L19" i="4"/>
  <c r="L8" i="4"/>
  <c r="L14" i="4"/>
  <c r="L3" i="4"/>
  <c r="L15" i="4"/>
  <c r="L18" i="4"/>
  <c r="L4" i="4"/>
  <c r="L17" i="4"/>
  <c r="L16" i="4"/>
  <c r="L24" i="4"/>
  <c r="L11" i="4"/>
  <c r="K12" i="4"/>
  <c r="K20" i="4"/>
  <c r="K7" i="4"/>
  <c r="K2" i="4"/>
  <c r="K6" i="4"/>
  <c r="K5" i="4"/>
  <c r="K13" i="4"/>
  <c r="K9" i="4"/>
  <c r="K10" i="4"/>
  <c r="K22" i="4"/>
  <c r="K23" i="4"/>
  <c r="K21" i="4"/>
  <c r="K19" i="4"/>
  <c r="K8" i="4"/>
  <c r="K14" i="4"/>
  <c r="K3" i="4"/>
  <c r="K15" i="4"/>
  <c r="K18" i="4"/>
  <c r="K4" i="4"/>
  <c r="K17" i="4"/>
  <c r="K16" i="4"/>
  <c r="K24" i="4"/>
  <c r="K11" i="4"/>
  <c r="J12" i="4"/>
  <c r="J20" i="4"/>
  <c r="J7" i="4"/>
  <c r="J2" i="4"/>
  <c r="J6" i="4"/>
  <c r="J5" i="4"/>
  <c r="J13" i="4"/>
  <c r="J9" i="4"/>
  <c r="J10" i="4"/>
  <c r="J22" i="4"/>
  <c r="J23" i="4"/>
  <c r="J21" i="4"/>
  <c r="J19" i="4"/>
  <c r="J8" i="4"/>
  <c r="J14" i="4"/>
  <c r="J3" i="4"/>
  <c r="J15" i="4"/>
  <c r="J18" i="4"/>
  <c r="J4" i="4"/>
  <c r="J17" i="4"/>
  <c r="J16" i="4"/>
  <c r="J24" i="4"/>
  <c r="J11" i="4"/>
</calcChain>
</file>

<file path=xl/sharedStrings.xml><?xml version="1.0" encoding="utf-8"?>
<sst xmlns="http://schemas.openxmlformats.org/spreadsheetml/2006/main" count="534" uniqueCount="293">
  <si>
    <t>Product Prices</t>
  </si>
  <si>
    <t>Product Orders</t>
  </si>
  <si>
    <t>Product</t>
  </si>
  <si>
    <t>Price in MYR</t>
  </si>
  <si>
    <t>Order ID</t>
  </si>
  <si>
    <t>Apple iPhone 14</t>
  </si>
  <si>
    <t>ORD0001</t>
  </si>
  <si>
    <t>Asus VivoBook Go</t>
  </si>
  <si>
    <t>Samsung Galaxy S25</t>
  </si>
  <si>
    <t>ORD0002</t>
  </si>
  <si>
    <t>Oppo Reno13</t>
  </si>
  <si>
    <t>ORD0003</t>
  </si>
  <si>
    <t>Fujifilm Instax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</si>
  <si>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</si>
  <si>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</si>
  <si>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</si>
  <si>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</si>
  <si>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</si>
  <si>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</si>
  <si>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</si>
  <si>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</si>
  <si>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</si>
  <si>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</si>
  <si>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</si>
  <si>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</si>
  <si>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</si>
  <si>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</si>
  <si>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</si>
  <si>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</si>
  <si>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</si>
  <si>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</si>
  <si>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</si>
  <si>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</si>
  <si>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</si>
  <si>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</si>
  <si>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</si>
  <si>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</si>
  <si>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</si>
  <si>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</si>
  <si>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</si>
  <si>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</si>
  <si>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</si>
  <si>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</si>
  <si>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</si>
  <si>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</si>
  <si>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</si>
  <si>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</si>
  <si>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</si>
  <si>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</si>
  <si>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</si>
  <si>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</si>
  <si>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</si>
  <si>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</si>
  <si>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</si>
  <si>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</si>
  <si>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</si>
  <si>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</si>
  <si>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</si>
  <si>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</si>
  <si>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</si>
  <si>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</si>
  <si>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</si>
  <si>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</si>
  <si>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</si>
  <si>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</si>
  <si>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</si>
  <si>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</si>
  <si>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</si>
  <si>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</si>
  <si>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</si>
  <si>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</si>
  <si>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</si>
  <si>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</si>
  <si>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</si>
  <si>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</si>
  <si>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</si>
  <si>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</si>
  <si>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</si>
  <si>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</si>
  <si>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</si>
  <si>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</si>
  <si>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</si>
  <si>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</si>
  <si>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</si>
  <si>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</si>
  <si>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</si>
  <si>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</si>
  <si>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</si>
  <si>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</si>
  <si>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</si>
  <si>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</si>
  <si>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</si>
  <si>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</si>
  <si>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</si>
  <si>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</si>
  <si>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</si>
  <si>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</si>
  <si>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</si>
  <si>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</si>
  <si>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</si>
  <si>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</si>
  <si>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</si>
  <si>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</si>
  <si>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</si>
  <si>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</si>
  <si>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</si>
  <si>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</si>
  <si>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</si>
  <si>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</si>
  <si>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</si>
  <si>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</si>
  <si>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</si>
  <si>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</si>
  <si>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</si>
  <si>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</si>
  <si>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</si>
  <si>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</si>
  <si>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</si>
  <si>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</si>
  <si>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</si>
  <si>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</si>
  <si>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</si>
  <si>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</si>
  <si>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</si>
  <si>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</si>
  <si>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</si>
  <si>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</si>
  <si>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</si>
  <si>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</si>
  <si>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</si>
  <si>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</si>
  <si>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</si>
  <si>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</si>
  <si>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</si>
  <si>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</si>
  <si>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</si>
  <si>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</si>
  <si>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</si>
  <si>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</si>
  <si>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</si>
  <si>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</si>
  <si>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</si>
  <si>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</si>
  <si>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</si>
  <si>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</si>
  <si>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</si>
  <si>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</si>
  <si>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</si>
  <si>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</si>
  <si>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</si>
  <si>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</si>
  <si>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</si>
  <si>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</si>
  <si>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</si>
  <si>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</si>
  <si>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</si>
  <si>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</si>
  <si>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</si>
  <si>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</si>
  <si>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</si>
  <si>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</si>
  <si>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</si>
  <si>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</si>
  <si>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</si>
  <si>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</si>
  <si>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</si>
  <si>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</si>
  <si>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</si>
  <si>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</si>
  <si>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</si>
  <si>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</si>
  <si>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</si>
  <si>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</si>
  <si>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</si>
  <si>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</si>
  <si>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</si>
  <si>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</si>
  <si>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</si>
  <si>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</si>
  <si>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</si>
  <si>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</si>
  <si>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</si>
  <si>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</si>
  <si>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</si>
  <si>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</si>
  <si>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</si>
  <si>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</si>
  <si>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</si>
  <si>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</si>
  <si>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</si>
  <si>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</si>
  <si>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</si>
  <si>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</si>
  <si>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</si>
  <si>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</si>
  <si>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</si>
  <si>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</si>
  <si>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</si>
  <si>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</si>
  <si>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</si>
  <si>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</si>
  <si>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</si>
  <si>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</si>
  <si>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</si>
  <si>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</si>
  <si>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</si>
  <si>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</si>
  <si>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</si>
  <si>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</si>
  <si>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</si>
  <si>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Region,Product</t>
  </si>
  <si>
    <t>Customer Type</t>
  </si>
  <si>
    <t>Order Month</t>
  </si>
  <si>
    <t>Quantity Sold</t>
  </si>
  <si>
    <t>Unit Price</t>
  </si>
  <si>
    <t>Total Revenue</t>
  </si>
  <si>
    <t>Total Cost</t>
  </si>
  <si>
    <t>Profit</t>
  </si>
  <si>
    <t>Region</t>
  </si>
  <si>
    <t>Cleaned Customer Type</t>
  </si>
  <si>
    <t>Quantity Sold2</t>
  </si>
  <si>
    <t>Month</t>
  </si>
  <si>
    <t>Profit Margin</t>
  </si>
  <si>
    <t>KCC1003</t>
  </si>
  <si>
    <t>North,Sugar</t>
  </si>
  <si>
    <t>grocery store</t>
  </si>
  <si>
    <t>2024-01</t>
  </si>
  <si>
    <t>KCC1014</t>
  </si>
  <si>
    <t>West,Chocolate Chip</t>
  </si>
  <si>
    <t>Farmer's Market</t>
  </si>
  <si>
    <t>2024-09</t>
  </si>
  <si>
    <t>KCC1017</t>
  </si>
  <si>
    <t>South,Peanut Butter</t>
  </si>
  <si>
    <t>Grocery Store</t>
  </si>
  <si>
    <t>2024-04</t>
  </si>
  <si>
    <t>KCC1005</t>
  </si>
  <si>
    <t>East,Sugar</t>
  </si>
  <si>
    <t>corporate event</t>
  </si>
  <si>
    <t>2024-10</t>
  </si>
  <si>
    <t>KCC1004</t>
  </si>
  <si>
    <t>East,Oatmeal Raisin</t>
  </si>
  <si>
    <t>2024-12</t>
  </si>
  <si>
    <t>KCC1002</t>
  </si>
  <si>
    <t>East,Macadamia Nut</t>
  </si>
  <si>
    <t>KCC1012</t>
  </si>
  <si>
    <t>South,Sugar</t>
  </si>
  <si>
    <t>KCC1007</t>
  </si>
  <si>
    <t>West,Sugar</t>
  </si>
  <si>
    <t>KCC1000</t>
  </si>
  <si>
    <t>North,Oatmeal Raisin</t>
  </si>
  <si>
    <t>online Order</t>
  </si>
  <si>
    <t>2024-11</t>
  </si>
  <si>
    <t>KCC1006</t>
  </si>
  <si>
    <t>Corporate Event</t>
  </si>
  <si>
    <t>KCC1013</t>
  </si>
  <si>
    <t>South,Oatmeal Raisin</t>
  </si>
  <si>
    <t>Cafe</t>
  </si>
  <si>
    <t>KCC1015</t>
  </si>
  <si>
    <t>East,Peanut Butter</t>
  </si>
  <si>
    <t>2024-03</t>
  </si>
  <si>
    <t>KCC1019</t>
  </si>
  <si>
    <t>KCC1018</t>
  </si>
  <si>
    <t>North,Peanut Butter</t>
  </si>
  <si>
    <t>KCC1016</t>
  </si>
  <si>
    <t>2024-06</t>
  </si>
  <si>
    <t>KCC1011</t>
  </si>
  <si>
    <t>KCC1001</t>
  </si>
  <si>
    <t>West,Macadamia Nut</t>
  </si>
  <si>
    <t>KCC1010</t>
  </si>
  <si>
    <t>2024-02</t>
  </si>
  <si>
    <t>KCC1008</t>
  </si>
  <si>
    <t>2024-05</t>
  </si>
  <si>
    <t>KCC1009</t>
  </si>
  <si>
    <t>North,Chocolate Chip</t>
  </si>
  <si>
    <t>Online Order</t>
  </si>
  <si>
    <t>KCC1020</t>
  </si>
  <si>
    <t>2024-08</t>
  </si>
  <si>
    <t>Feedback</t>
  </si>
  <si>
    <t>I am very satisfied with the overall service. The ordering process was smooth and the product arrived earlier than expected.</t>
  </si>
  <si>
    <t>The delivery was fast and efficient, and I appreciated the regular status updates throughout the shipping process.</t>
  </si>
  <si>
    <t>The product quality met my expectations and matched the description on the website, which made the purchase decision easy.</t>
  </si>
  <si>
    <t>Customer support was helpful and responsive when I had questions about my order, and they resolved my issue promptly.</t>
  </si>
  <si>
    <t>The pricing is reasonable compared to similar products in the market, and the value for money is quite good.</t>
  </si>
  <si>
    <t>The ordering process was easy to follow, and I did not encounter any technical issues while placing my order online.</t>
  </si>
  <si>
    <t>Overall, the experience was positive and I would consider buying from this company again in the future.</t>
  </si>
  <si>
    <t>The packaging could be improved as the box was slightly damaged, but the product inside was still in good condition.</t>
  </si>
  <si>
    <t>I had a good overall experience and the product performed as expected after several days of use.</t>
  </si>
  <si>
    <t>The product arrived on time and was well packed, which gave me confidence in the company’s logistics handling.</t>
  </si>
  <si>
    <t>The website was easy to navigate, and I was able to find the information I needed without much effort.</t>
  </si>
  <si>
    <t>The service staff were polite and professional, making the entire interaction pleasant and stress-free.</t>
  </si>
  <si>
    <t>I am satisfied with the purchase and feel that it met my needs based on the information provided online.</t>
  </si>
  <si>
    <t>The product selection is good, and I like that there are multiple options available to suit different preferences.</t>
  </si>
  <si>
    <t>I am happy with the overall experience, from placing the order to receiving and using the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</si>
</sst>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3">
    <dxf>
      <numFmt numFmtId="3" formatCode="#,##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DBAFB6-F8DC-4D7F-8B71-20FC036D00DF}" name="Table2" displayName="Table2" ref="A2:B7" totalsRowShown="0" headerRowDxfId="2">
  <autoFilter ref="A2:B7" xr:uid="{58DBAFB6-F8DC-4D7F-8B71-20FC036D00DF}"/>
  <tableColumns count="2">
    <tableColumn id="1" xr3:uid="{F8F44CE0-A7FA-4002-B9B4-191144835DDF}" name="Product" dataDxfId="1"/>
    <tableColumn id="2" xr3:uid="{AC43575E-3743-4257-BB40-87F6862F4BF5}" name="Price in MYR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3ED9C2-D0C3-4D5B-8F23-24290102C86E}" name="Table3" displayName="Table3" ref="E2:F202" totalsRowShown="0">
  <autoFilter ref="E2:F202" xr:uid="{0F3ED9C2-D0C3-4D5B-8F23-24290102C86E}"/>
  <tableColumns count="2">
    <tableColumn id="1" xr3:uid="{D6BF9CD8-A91D-4D80-A18E-FD6E7921648C}" name="Order ID"/>
    <tableColumn id="2" xr3:uid="{D0736C98-3745-42E3-8BED-37308DBFF32D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FF25-DC6F-47F8-A505-C5D4469A76C0}">
  <dimension ref="A1:F202"/>
  <sheetViews>
    <sheetView workbookViewId="0">
      <selection activeCell="H13" sqref="H13"/>
    </sheetView>
  </sheetViews>
  <sheetFormatPr defaultRowHeight="14.45"/>
  <cols>
    <col min="1" max="1" width="17.5703125" bestFit="1" customWidth="1"/>
    <col min="2" max="2" width="13.7109375" bestFit="1" customWidth="1"/>
    <col min="5" max="5" width="10.28515625" bestFit="1" customWidth="1"/>
    <col min="6" max="6" width="17.5703125" bestFit="1" customWidth="1"/>
  </cols>
  <sheetData>
    <row r="1" spans="1:6">
      <c r="A1" t="s">
        <v>0</v>
      </c>
      <c r="E1" t="s">
        <v>1</v>
      </c>
    </row>
    <row r="2" spans="1:6">
      <c r="A2" t="s">
        <v>2</v>
      </c>
      <c r="B2" t="s">
        <v>3</v>
      </c>
      <c r="E2" t="s">
        <v>4</v>
      </c>
      <c r="F2" t="s">
        <v>2</v>
      </c>
    </row>
    <row r="3" spans="1:6">
      <c r="A3" t="s">
        <v>5</v>
      </c>
      <c r="B3" s="1">
        <v>4199</v>
      </c>
      <c r="E3" t="s">
        <v>6</v>
      </c>
      <c r="F3" t="s">
        <v>7</v>
      </c>
    </row>
    <row r="4" spans="1:6">
      <c r="A4" t="s">
        <v>8</v>
      </c>
      <c r="B4" s="1">
        <v>3999</v>
      </c>
      <c r="E4" t="s">
        <v>9</v>
      </c>
      <c r="F4" t="s">
        <v>7</v>
      </c>
    </row>
    <row r="5" spans="1:6">
      <c r="A5" t="s">
        <v>10</v>
      </c>
      <c r="B5" s="1">
        <v>1469</v>
      </c>
      <c r="E5" t="s">
        <v>11</v>
      </c>
      <c r="F5" t="s">
        <v>7</v>
      </c>
    </row>
    <row r="6" spans="1:6">
      <c r="A6" t="s">
        <v>12</v>
      </c>
      <c r="B6">
        <v>500</v>
      </c>
      <c r="E6" t="s">
        <v>13</v>
      </c>
      <c r="F6" t="s">
        <v>5</v>
      </c>
    </row>
    <row r="7" spans="1:6">
      <c r="A7" t="s">
        <v>7</v>
      </c>
      <c r="B7" s="1">
        <v>2608</v>
      </c>
      <c r="E7" t="s">
        <v>14</v>
      </c>
      <c r="F7" t="s">
        <v>7</v>
      </c>
    </row>
    <row r="8" spans="1:6">
      <c r="E8" t="s">
        <v>15</v>
      </c>
      <c r="F8" t="s">
        <v>12</v>
      </c>
    </row>
    <row r="9" spans="1:6">
      <c r="E9" t="s">
        <v>16</v>
      </c>
      <c r="F9" t="s">
        <v>8</v>
      </c>
    </row>
    <row r="10" spans="1:6">
      <c r="E10" t="s">
        <v>17</v>
      </c>
      <c r="F10" t="s">
        <v>7</v>
      </c>
    </row>
    <row r="11" spans="1:6">
      <c r="E11" t="s">
        <v>18</v>
      </c>
      <c r="F11" t="s">
        <v>10</v>
      </c>
    </row>
    <row r="12" spans="1:6">
      <c r="E12" t="s">
        <v>19</v>
      </c>
      <c r="F12" t="s">
        <v>12</v>
      </c>
    </row>
    <row r="13" spans="1:6">
      <c r="E13" t="s">
        <v>20</v>
      </c>
      <c r="F13" t="s">
        <v>12</v>
      </c>
    </row>
    <row r="14" spans="1:6">
      <c r="E14" t="s">
        <v>21</v>
      </c>
      <c r="F14" t="s">
        <v>12</v>
      </c>
    </row>
    <row r="15" spans="1:6">
      <c r="E15" t="s">
        <v>22</v>
      </c>
      <c r="F15" t="s">
        <v>8</v>
      </c>
    </row>
    <row r="16" spans="1:6">
      <c r="E16" t="s">
        <v>23</v>
      </c>
      <c r="F16" t="s">
        <v>8</v>
      </c>
    </row>
    <row r="17" spans="5:6">
      <c r="E17" t="s">
        <v>24</v>
      </c>
      <c r="F17" t="s">
        <v>10</v>
      </c>
    </row>
    <row r="18" spans="5:6">
      <c r="E18" t="s">
        <v>25</v>
      </c>
      <c r="F18" t="s">
        <v>12</v>
      </c>
    </row>
    <row r="19" spans="5:6">
      <c r="E19" t="s">
        <v>26</v>
      </c>
      <c r="F19" t="s">
        <v>8</v>
      </c>
    </row>
    <row r="20" spans="5:6">
      <c r="E20" t="s">
        <v>27</v>
      </c>
      <c r="F20" t="s">
        <v>5</v>
      </c>
    </row>
    <row r="21" spans="5:6">
      <c r="E21" t="s">
        <v>28</v>
      </c>
      <c r="F21" t="s">
        <v>12</v>
      </c>
    </row>
    <row r="22" spans="5:6">
      <c r="E22" t="s">
        <v>29</v>
      </c>
      <c r="F22" t="s">
        <v>5</v>
      </c>
    </row>
    <row r="23" spans="5:6">
      <c r="E23" t="s">
        <v>30</v>
      </c>
      <c r="F23" t="s">
        <v>8</v>
      </c>
    </row>
    <row r="24" spans="5:6">
      <c r="E24" t="s">
        <v>31</v>
      </c>
      <c r="F24" t="s">
        <v>12</v>
      </c>
    </row>
    <row r="25" spans="5:6">
      <c r="E25" t="s">
        <v>32</v>
      </c>
      <c r="F25" t="s">
        <v>7</v>
      </c>
    </row>
    <row r="26" spans="5:6">
      <c r="E26" t="s">
        <v>33</v>
      </c>
      <c r="F26" t="s">
        <v>8</v>
      </c>
    </row>
    <row r="27" spans="5:6">
      <c r="E27" t="s">
        <v>34</v>
      </c>
      <c r="F27" t="s">
        <v>8</v>
      </c>
    </row>
    <row r="28" spans="5:6">
      <c r="E28" t="s">
        <v>35</v>
      </c>
      <c r="F28" t="s">
        <v>8</v>
      </c>
    </row>
    <row r="29" spans="5:6">
      <c r="E29" t="s">
        <v>36</v>
      </c>
      <c r="F29" t="s">
        <v>7</v>
      </c>
    </row>
    <row r="30" spans="5:6">
      <c r="E30" t="s">
        <v>37</v>
      </c>
      <c r="F30" t="s">
        <v>12</v>
      </c>
    </row>
    <row r="31" spans="5:6">
      <c r="E31" t="s">
        <v>38</v>
      </c>
      <c r="F31" t="s">
        <v>5</v>
      </c>
    </row>
    <row r="32" spans="5:6">
      <c r="E32" t="s">
        <v>39</v>
      </c>
      <c r="F32" t="s">
        <v>12</v>
      </c>
    </row>
    <row r="33" spans="5:6">
      <c r="E33" t="s">
        <v>40</v>
      </c>
      <c r="F33" t="s">
        <v>5</v>
      </c>
    </row>
    <row r="34" spans="5:6">
      <c r="E34" t="s">
        <v>41</v>
      </c>
      <c r="F34" t="s">
        <v>10</v>
      </c>
    </row>
    <row r="35" spans="5:6">
      <c r="E35" t="s">
        <v>42</v>
      </c>
      <c r="F35" t="s">
        <v>7</v>
      </c>
    </row>
    <row r="36" spans="5:6">
      <c r="E36" t="s">
        <v>43</v>
      </c>
      <c r="F36" t="s">
        <v>7</v>
      </c>
    </row>
    <row r="37" spans="5:6">
      <c r="E37" t="s">
        <v>44</v>
      </c>
      <c r="F37" t="s">
        <v>12</v>
      </c>
    </row>
    <row r="38" spans="5:6">
      <c r="E38" t="s">
        <v>45</v>
      </c>
      <c r="F38" t="s">
        <v>8</v>
      </c>
    </row>
    <row r="39" spans="5:6">
      <c r="E39" t="s">
        <v>46</v>
      </c>
      <c r="F39" t="s">
        <v>10</v>
      </c>
    </row>
    <row r="40" spans="5:6">
      <c r="E40" t="s">
        <v>47</v>
      </c>
      <c r="F40" t="s">
        <v>12</v>
      </c>
    </row>
    <row r="41" spans="5:6">
      <c r="E41" t="s">
        <v>48</v>
      </c>
      <c r="F41" t="s">
        <v>10</v>
      </c>
    </row>
    <row r="42" spans="5:6">
      <c r="E42" t="s">
        <v>49</v>
      </c>
      <c r="F42" t="s">
        <v>12</v>
      </c>
    </row>
    <row r="43" spans="5:6">
      <c r="E43" t="s">
        <v>50</v>
      </c>
      <c r="F43" t="s">
        <v>8</v>
      </c>
    </row>
    <row r="44" spans="5:6">
      <c r="E44" t="s">
        <v>51</v>
      </c>
      <c r="F44" t="s">
        <v>7</v>
      </c>
    </row>
    <row r="45" spans="5:6">
      <c r="E45" t="s">
        <v>52</v>
      </c>
      <c r="F45" t="s">
        <v>10</v>
      </c>
    </row>
    <row r="46" spans="5:6">
      <c r="E46" t="s">
        <v>53</v>
      </c>
      <c r="F46" t="s">
        <v>8</v>
      </c>
    </row>
    <row r="47" spans="5:6">
      <c r="E47" t="s">
        <v>54</v>
      </c>
      <c r="F47" t="s">
        <v>12</v>
      </c>
    </row>
    <row r="48" spans="5:6">
      <c r="E48" t="s">
        <v>55</v>
      </c>
      <c r="F48" t="s">
        <v>5</v>
      </c>
    </row>
    <row r="49" spans="5:6">
      <c r="E49" t="s">
        <v>56</v>
      </c>
      <c r="F49" t="s">
        <v>5</v>
      </c>
    </row>
    <row r="50" spans="5:6">
      <c r="E50" t="s">
        <v>57</v>
      </c>
      <c r="F50" t="s">
        <v>8</v>
      </c>
    </row>
    <row r="51" spans="5:6">
      <c r="E51" t="s">
        <v>58</v>
      </c>
      <c r="F51" t="s">
        <v>10</v>
      </c>
    </row>
    <row r="52" spans="5:6">
      <c r="E52" t="s">
        <v>59</v>
      </c>
      <c r="F52" t="s">
        <v>10</v>
      </c>
    </row>
    <row r="53" spans="5:6">
      <c r="E53" t="s">
        <v>60</v>
      </c>
      <c r="F53" t="s">
        <v>8</v>
      </c>
    </row>
    <row r="54" spans="5:6">
      <c r="E54" t="s">
        <v>61</v>
      </c>
      <c r="F54" t="s">
        <v>5</v>
      </c>
    </row>
    <row r="55" spans="5:6">
      <c r="E55" t="s">
        <v>62</v>
      </c>
      <c r="F55" t="s">
        <v>8</v>
      </c>
    </row>
    <row r="56" spans="5:6">
      <c r="E56" t="s">
        <v>63</v>
      </c>
      <c r="F56" t="s">
        <v>10</v>
      </c>
    </row>
    <row r="57" spans="5:6">
      <c r="E57" t="s">
        <v>64</v>
      </c>
      <c r="F57" t="s">
        <v>12</v>
      </c>
    </row>
    <row r="58" spans="5:6">
      <c r="E58" t="s">
        <v>65</v>
      </c>
      <c r="F58" t="s">
        <v>5</v>
      </c>
    </row>
    <row r="59" spans="5:6">
      <c r="E59" t="s">
        <v>66</v>
      </c>
      <c r="F59" t="s">
        <v>7</v>
      </c>
    </row>
    <row r="60" spans="5:6">
      <c r="E60" t="s">
        <v>67</v>
      </c>
      <c r="F60" t="s">
        <v>7</v>
      </c>
    </row>
    <row r="61" spans="5:6">
      <c r="E61" t="s">
        <v>68</v>
      </c>
      <c r="F61" t="s">
        <v>8</v>
      </c>
    </row>
    <row r="62" spans="5:6">
      <c r="E62" t="s">
        <v>69</v>
      </c>
      <c r="F62" t="s">
        <v>5</v>
      </c>
    </row>
    <row r="63" spans="5:6">
      <c r="E63" t="s">
        <v>70</v>
      </c>
      <c r="F63" t="s">
        <v>7</v>
      </c>
    </row>
    <row r="64" spans="5:6">
      <c r="E64" t="s">
        <v>71</v>
      </c>
      <c r="F64" t="s">
        <v>10</v>
      </c>
    </row>
    <row r="65" spans="5:6">
      <c r="E65" t="s">
        <v>72</v>
      </c>
      <c r="F65" t="s">
        <v>7</v>
      </c>
    </row>
    <row r="66" spans="5:6">
      <c r="E66" t="s">
        <v>73</v>
      </c>
      <c r="F66" t="s">
        <v>10</v>
      </c>
    </row>
    <row r="67" spans="5:6">
      <c r="E67" t="s">
        <v>74</v>
      </c>
      <c r="F67" t="s">
        <v>5</v>
      </c>
    </row>
    <row r="68" spans="5:6">
      <c r="E68" t="s">
        <v>75</v>
      </c>
      <c r="F68" t="s">
        <v>5</v>
      </c>
    </row>
    <row r="69" spans="5:6">
      <c r="E69" t="s">
        <v>76</v>
      </c>
      <c r="F69" t="s">
        <v>5</v>
      </c>
    </row>
    <row r="70" spans="5:6">
      <c r="E70" t="s">
        <v>77</v>
      </c>
      <c r="F70" t="s">
        <v>7</v>
      </c>
    </row>
    <row r="71" spans="5:6">
      <c r="E71" t="s">
        <v>78</v>
      </c>
      <c r="F71" t="s">
        <v>10</v>
      </c>
    </row>
    <row r="72" spans="5:6">
      <c r="E72" t="s">
        <v>79</v>
      </c>
      <c r="F72" t="s">
        <v>7</v>
      </c>
    </row>
    <row r="73" spans="5:6">
      <c r="E73" t="s">
        <v>80</v>
      </c>
      <c r="F73" t="s">
        <v>5</v>
      </c>
    </row>
    <row r="74" spans="5:6">
      <c r="E74" t="s">
        <v>81</v>
      </c>
      <c r="F74" t="s">
        <v>8</v>
      </c>
    </row>
    <row r="75" spans="5:6">
      <c r="E75" t="s">
        <v>82</v>
      </c>
      <c r="F75" t="s">
        <v>12</v>
      </c>
    </row>
    <row r="76" spans="5:6">
      <c r="E76" t="s">
        <v>83</v>
      </c>
      <c r="F76" t="s">
        <v>8</v>
      </c>
    </row>
    <row r="77" spans="5:6">
      <c r="E77" t="s">
        <v>84</v>
      </c>
      <c r="F77" t="s">
        <v>12</v>
      </c>
    </row>
    <row r="78" spans="5:6">
      <c r="E78" t="s">
        <v>85</v>
      </c>
      <c r="F78" t="s">
        <v>7</v>
      </c>
    </row>
    <row r="79" spans="5:6">
      <c r="E79" t="s">
        <v>86</v>
      </c>
      <c r="F79" t="s">
        <v>10</v>
      </c>
    </row>
    <row r="80" spans="5:6">
      <c r="E80" t="s">
        <v>87</v>
      </c>
      <c r="F80" t="s">
        <v>5</v>
      </c>
    </row>
    <row r="81" spans="5:6">
      <c r="E81" t="s">
        <v>88</v>
      </c>
      <c r="F81" t="s">
        <v>7</v>
      </c>
    </row>
    <row r="82" spans="5:6">
      <c r="E82" t="s">
        <v>89</v>
      </c>
      <c r="F82" t="s">
        <v>12</v>
      </c>
    </row>
    <row r="83" spans="5:6">
      <c r="E83" t="s">
        <v>90</v>
      </c>
      <c r="F83" t="s">
        <v>7</v>
      </c>
    </row>
    <row r="84" spans="5:6">
      <c r="E84" t="s">
        <v>91</v>
      </c>
      <c r="F84" t="s">
        <v>10</v>
      </c>
    </row>
    <row r="85" spans="5:6">
      <c r="E85" t="s">
        <v>92</v>
      </c>
      <c r="F85" t="s">
        <v>12</v>
      </c>
    </row>
    <row r="86" spans="5:6">
      <c r="E86" t="s">
        <v>93</v>
      </c>
      <c r="F86" t="s">
        <v>12</v>
      </c>
    </row>
    <row r="87" spans="5:6">
      <c r="E87" t="s">
        <v>94</v>
      </c>
      <c r="F87" t="s">
        <v>7</v>
      </c>
    </row>
    <row r="88" spans="5:6">
      <c r="E88" t="s">
        <v>95</v>
      </c>
      <c r="F88" t="s">
        <v>7</v>
      </c>
    </row>
    <row r="89" spans="5:6">
      <c r="E89" t="s">
        <v>96</v>
      </c>
      <c r="F89" t="s">
        <v>12</v>
      </c>
    </row>
    <row r="90" spans="5:6">
      <c r="E90" t="s">
        <v>97</v>
      </c>
      <c r="F90" t="s">
        <v>8</v>
      </c>
    </row>
    <row r="91" spans="5:6">
      <c r="E91" t="s">
        <v>98</v>
      </c>
      <c r="F91" t="s">
        <v>12</v>
      </c>
    </row>
    <row r="92" spans="5:6">
      <c r="E92" t="s">
        <v>99</v>
      </c>
      <c r="F92" t="s">
        <v>5</v>
      </c>
    </row>
    <row r="93" spans="5:6">
      <c r="E93" t="s">
        <v>100</v>
      </c>
      <c r="F93" t="s">
        <v>10</v>
      </c>
    </row>
    <row r="94" spans="5:6">
      <c r="E94" t="s">
        <v>101</v>
      </c>
      <c r="F94" t="s">
        <v>12</v>
      </c>
    </row>
    <row r="95" spans="5:6">
      <c r="E95" t="s">
        <v>102</v>
      </c>
      <c r="F95" t="s">
        <v>10</v>
      </c>
    </row>
    <row r="96" spans="5:6">
      <c r="E96" t="s">
        <v>103</v>
      </c>
      <c r="F96" t="s">
        <v>5</v>
      </c>
    </row>
    <row r="97" spans="5:6">
      <c r="E97" t="s">
        <v>104</v>
      </c>
      <c r="F97" t="s">
        <v>8</v>
      </c>
    </row>
    <row r="98" spans="5:6">
      <c r="E98" t="s">
        <v>105</v>
      </c>
      <c r="F98" t="s">
        <v>7</v>
      </c>
    </row>
    <row r="99" spans="5:6">
      <c r="E99" t="s">
        <v>106</v>
      </c>
      <c r="F99" t="s">
        <v>5</v>
      </c>
    </row>
    <row r="100" spans="5:6">
      <c r="E100" t="s">
        <v>107</v>
      </c>
      <c r="F100" t="s">
        <v>12</v>
      </c>
    </row>
    <row r="101" spans="5:6">
      <c r="E101" t="s">
        <v>108</v>
      </c>
      <c r="F101" t="s">
        <v>10</v>
      </c>
    </row>
    <row r="102" spans="5:6">
      <c r="E102" t="s">
        <v>109</v>
      </c>
      <c r="F102" t="s">
        <v>7</v>
      </c>
    </row>
    <row r="103" spans="5:6">
      <c r="E103" t="s">
        <v>110</v>
      </c>
      <c r="F103" t="s">
        <v>12</v>
      </c>
    </row>
    <row r="104" spans="5:6">
      <c r="E104" t="s">
        <v>111</v>
      </c>
      <c r="F104" t="s">
        <v>12</v>
      </c>
    </row>
    <row r="105" spans="5:6">
      <c r="E105" t="s">
        <v>112</v>
      </c>
      <c r="F105" t="s">
        <v>5</v>
      </c>
    </row>
    <row r="106" spans="5:6">
      <c r="E106" t="s">
        <v>113</v>
      </c>
      <c r="F106" t="s">
        <v>12</v>
      </c>
    </row>
    <row r="107" spans="5:6">
      <c r="E107" t="s">
        <v>114</v>
      </c>
      <c r="F107" t="s">
        <v>7</v>
      </c>
    </row>
    <row r="108" spans="5:6">
      <c r="E108" t="s">
        <v>115</v>
      </c>
      <c r="F108" t="s">
        <v>5</v>
      </c>
    </row>
    <row r="109" spans="5:6">
      <c r="E109" t="s">
        <v>116</v>
      </c>
      <c r="F109" t="s">
        <v>12</v>
      </c>
    </row>
    <row r="110" spans="5:6">
      <c r="E110" t="s">
        <v>117</v>
      </c>
      <c r="F110" t="s">
        <v>5</v>
      </c>
    </row>
    <row r="111" spans="5:6">
      <c r="E111" t="s">
        <v>118</v>
      </c>
      <c r="F111" t="s">
        <v>5</v>
      </c>
    </row>
    <row r="112" spans="5:6">
      <c r="E112" t="s">
        <v>119</v>
      </c>
      <c r="F112" t="s">
        <v>8</v>
      </c>
    </row>
    <row r="113" spans="5:6">
      <c r="E113" t="s">
        <v>120</v>
      </c>
      <c r="F113" t="s">
        <v>5</v>
      </c>
    </row>
    <row r="114" spans="5:6">
      <c r="E114" t="s">
        <v>121</v>
      </c>
      <c r="F114" t="s">
        <v>7</v>
      </c>
    </row>
    <row r="115" spans="5:6">
      <c r="E115" t="s">
        <v>122</v>
      </c>
      <c r="F115" t="s">
        <v>8</v>
      </c>
    </row>
    <row r="116" spans="5:6">
      <c r="E116" t="s">
        <v>123</v>
      </c>
      <c r="F116" t="s">
        <v>5</v>
      </c>
    </row>
    <row r="117" spans="5:6">
      <c r="E117" t="s">
        <v>124</v>
      </c>
      <c r="F117" t="s">
        <v>8</v>
      </c>
    </row>
    <row r="118" spans="5:6">
      <c r="E118" t="s">
        <v>125</v>
      </c>
      <c r="F118" t="s">
        <v>8</v>
      </c>
    </row>
    <row r="119" spans="5:6">
      <c r="E119" t="s">
        <v>126</v>
      </c>
      <c r="F119" t="s">
        <v>7</v>
      </c>
    </row>
    <row r="120" spans="5:6">
      <c r="E120" t="s">
        <v>127</v>
      </c>
      <c r="F120" t="s">
        <v>8</v>
      </c>
    </row>
    <row r="121" spans="5:6">
      <c r="E121" t="s">
        <v>128</v>
      </c>
      <c r="F121" t="s">
        <v>7</v>
      </c>
    </row>
    <row r="122" spans="5:6">
      <c r="E122" t="s">
        <v>129</v>
      </c>
      <c r="F122" t="s">
        <v>8</v>
      </c>
    </row>
    <row r="123" spans="5:6">
      <c r="E123" t="s">
        <v>130</v>
      </c>
      <c r="F123" t="s">
        <v>7</v>
      </c>
    </row>
    <row r="124" spans="5:6">
      <c r="E124" t="s">
        <v>131</v>
      </c>
      <c r="F124" t="s">
        <v>5</v>
      </c>
    </row>
    <row r="125" spans="5:6">
      <c r="E125" t="s">
        <v>132</v>
      </c>
      <c r="F125" t="s">
        <v>8</v>
      </c>
    </row>
    <row r="126" spans="5:6">
      <c r="E126" t="s">
        <v>133</v>
      </c>
      <c r="F126" t="s">
        <v>5</v>
      </c>
    </row>
    <row r="127" spans="5:6">
      <c r="E127" t="s">
        <v>134</v>
      </c>
      <c r="F127" t="s">
        <v>5</v>
      </c>
    </row>
    <row r="128" spans="5:6">
      <c r="E128" t="s">
        <v>135</v>
      </c>
      <c r="F128" t="s">
        <v>8</v>
      </c>
    </row>
    <row r="129" spans="5:6">
      <c r="E129" t="s">
        <v>136</v>
      </c>
      <c r="F129" t="s">
        <v>7</v>
      </c>
    </row>
    <row r="130" spans="5:6">
      <c r="E130" t="s">
        <v>137</v>
      </c>
      <c r="F130" t="s">
        <v>10</v>
      </c>
    </row>
    <row r="131" spans="5:6">
      <c r="E131" t="s">
        <v>138</v>
      </c>
      <c r="F131" t="s">
        <v>8</v>
      </c>
    </row>
    <row r="132" spans="5:6">
      <c r="E132" t="s">
        <v>139</v>
      </c>
      <c r="F132" t="s">
        <v>8</v>
      </c>
    </row>
    <row r="133" spans="5:6">
      <c r="E133" t="s">
        <v>140</v>
      </c>
      <c r="F133" t="s">
        <v>8</v>
      </c>
    </row>
    <row r="134" spans="5:6">
      <c r="E134" t="s">
        <v>141</v>
      </c>
      <c r="F134" t="s">
        <v>5</v>
      </c>
    </row>
    <row r="135" spans="5:6">
      <c r="E135" t="s">
        <v>142</v>
      </c>
      <c r="F135" t="s">
        <v>12</v>
      </c>
    </row>
    <row r="136" spans="5:6">
      <c r="E136" t="s">
        <v>143</v>
      </c>
      <c r="F136" t="s">
        <v>8</v>
      </c>
    </row>
    <row r="137" spans="5:6">
      <c r="E137" t="s">
        <v>144</v>
      </c>
      <c r="F137" t="s">
        <v>12</v>
      </c>
    </row>
    <row r="138" spans="5:6">
      <c r="E138" t="s">
        <v>145</v>
      </c>
      <c r="F138" t="s">
        <v>10</v>
      </c>
    </row>
    <row r="139" spans="5:6">
      <c r="E139" t="s">
        <v>146</v>
      </c>
      <c r="F139" t="s">
        <v>8</v>
      </c>
    </row>
    <row r="140" spans="5:6">
      <c r="E140" t="s">
        <v>147</v>
      </c>
      <c r="F140" t="s">
        <v>8</v>
      </c>
    </row>
    <row r="141" spans="5:6">
      <c r="E141" t="s">
        <v>148</v>
      </c>
      <c r="F141" t="s">
        <v>8</v>
      </c>
    </row>
    <row r="142" spans="5:6">
      <c r="E142" t="s">
        <v>149</v>
      </c>
      <c r="F142" t="s">
        <v>5</v>
      </c>
    </row>
    <row r="143" spans="5:6">
      <c r="E143" t="s">
        <v>150</v>
      </c>
      <c r="F143" t="s">
        <v>10</v>
      </c>
    </row>
    <row r="144" spans="5:6">
      <c r="E144" t="s">
        <v>151</v>
      </c>
      <c r="F144" t="s">
        <v>5</v>
      </c>
    </row>
    <row r="145" spans="5:6">
      <c r="E145" t="s">
        <v>152</v>
      </c>
      <c r="F145" t="s">
        <v>12</v>
      </c>
    </row>
    <row r="146" spans="5:6">
      <c r="E146" t="s">
        <v>153</v>
      </c>
      <c r="F146" t="s">
        <v>8</v>
      </c>
    </row>
    <row r="147" spans="5:6">
      <c r="E147" t="s">
        <v>154</v>
      </c>
      <c r="F147" t="s">
        <v>10</v>
      </c>
    </row>
    <row r="148" spans="5:6">
      <c r="E148" t="s">
        <v>155</v>
      </c>
      <c r="F148" t="s">
        <v>10</v>
      </c>
    </row>
    <row r="149" spans="5:6">
      <c r="E149" t="s">
        <v>156</v>
      </c>
      <c r="F149" t="s">
        <v>5</v>
      </c>
    </row>
    <row r="150" spans="5:6">
      <c r="E150" t="s">
        <v>157</v>
      </c>
      <c r="F150" t="s">
        <v>5</v>
      </c>
    </row>
    <row r="151" spans="5:6">
      <c r="E151" t="s">
        <v>158</v>
      </c>
      <c r="F151" t="s">
        <v>8</v>
      </c>
    </row>
    <row r="152" spans="5:6">
      <c r="E152" t="s">
        <v>159</v>
      </c>
      <c r="F152" t="s">
        <v>12</v>
      </c>
    </row>
    <row r="153" spans="5:6">
      <c r="E153" t="s">
        <v>160</v>
      </c>
      <c r="F153" t="s">
        <v>8</v>
      </c>
    </row>
    <row r="154" spans="5:6">
      <c r="E154" t="s">
        <v>161</v>
      </c>
      <c r="F154" t="s">
        <v>5</v>
      </c>
    </row>
    <row r="155" spans="5:6">
      <c r="E155" t="s">
        <v>162</v>
      </c>
      <c r="F155" t="s">
        <v>8</v>
      </c>
    </row>
    <row r="156" spans="5:6">
      <c r="E156" t="s">
        <v>163</v>
      </c>
      <c r="F156" t="s">
        <v>12</v>
      </c>
    </row>
    <row r="157" spans="5:6">
      <c r="E157" t="s">
        <v>164</v>
      </c>
      <c r="F157" t="s">
        <v>8</v>
      </c>
    </row>
    <row r="158" spans="5:6">
      <c r="E158" t="s">
        <v>165</v>
      </c>
      <c r="F158" t="s">
        <v>7</v>
      </c>
    </row>
    <row r="159" spans="5:6">
      <c r="E159" t="s">
        <v>166</v>
      </c>
      <c r="F159" t="s">
        <v>10</v>
      </c>
    </row>
    <row r="160" spans="5:6">
      <c r="E160" t="s">
        <v>167</v>
      </c>
      <c r="F160" t="s">
        <v>7</v>
      </c>
    </row>
    <row r="161" spans="5:6">
      <c r="E161" t="s">
        <v>168</v>
      </c>
      <c r="F161" t="s">
        <v>5</v>
      </c>
    </row>
    <row r="162" spans="5:6">
      <c r="E162" t="s">
        <v>169</v>
      </c>
      <c r="F162" t="s">
        <v>8</v>
      </c>
    </row>
    <row r="163" spans="5:6">
      <c r="E163" t="s">
        <v>170</v>
      </c>
      <c r="F163" t="s">
        <v>5</v>
      </c>
    </row>
    <row r="164" spans="5:6">
      <c r="E164" t="s">
        <v>171</v>
      </c>
      <c r="F164" t="s">
        <v>5</v>
      </c>
    </row>
    <row r="165" spans="5:6">
      <c r="E165" t="s">
        <v>172</v>
      </c>
      <c r="F165" t="s">
        <v>5</v>
      </c>
    </row>
    <row r="166" spans="5:6">
      <c r="E166" t="s">
        <v>173</v>
      </c>
      <c r="F166" t="s">
        <v>8</v>
      </c>
    </row>
    <row r="167" spans="5:6">
      <c r="E167" t="s">
        <v>174</v>
      </c>
      <c r="F167" t="s">
        <v>10</v>
      </c>
    </row>
    <row r="168" spans="5:6">
      <c r="E168" t="s">
        <v>175</v>
      </c>
      <c r="F168" t="s">
        <v>7</v>
      </c>
    </row>
    <row r="169" spans="5:6">
      <c r="E169" t="s">
        <v>176</v>
      </c>
      <c r="F169" t="s">
        <v>7</v>
      </c>
    </row>
    <row r="170" spans="5:6">
      <c r="E170" t="s">
        <v>177</v>
      </c>
      <c r="F170" t="s">
        <v>12</v>
      </c>
    </row>
    <row r="171" spans="5:6">
      <c r="E171" t="s">
        <v>178</v>
      </c>
      <c r="F171" t="s">
        <v>12</v>
      </c>
    </row>
    <row r="172" spans="5:6">
      <c r="E172" t="s">
        <v>179</v>
      </c>
      <c r="F172" t="s">
        <v>8</v>
      </c>
    </row>
    <row r="173" spans="5:6">
      <c r="E173" t="s">
        <v>180</v>
      </c>
      <c r="F173" t="s">
        <v>10</v>
      </c>
    </row>
    <row r="174" spans="5:6">
      <c r="E174" t="s">
        <v>181</v>
      </c>
      <c r="F174" t="s">
        <v>8</v>
      </c>
    </row>
    <row r="175" spans="5:6">
      <c r="E175" t="s">
        <v>182</v>
      </c>
      <c r="F175" t="s">
        <v>12</v>
      </c>
    </row>
    <row r="176" spans="5:6">
      <c r="E176" t="s">
        <v>183</v>
      </c>
      <c r="F176" t="s">
        <v>12</v>
      </c>
    </row>
    <row r="177" spans="5:6">
      <c r="E177" t="s">
        <v>184</v>
      </c>
      <c r="F177" t="s">
        <v>7</v>
      </c>
    </row>
    <row r="178" spans="5:6">
      <c r="E178" t="s">
        <v>185</v>
      </c>
      <c r="F178" t="s">
        <v>7</v>
      </c>
    </row>
    <row r="179" spans="5:6">
      <c r="E179" t="s">
        <v>186</v>
      </c>
      <c r="F179" t="s">
        <v>10</v>
      </c>
    </row>
    <row r="180" spans="5:6">
      <c r="E180" t="s">
        <v>187</v>
      </c>
      <c r="F180" t="s">
        <v>12</v>
      </c>
    </row>
    <row r="181" spans="5:6">
      <c r="E181" t="s">
        <v>188</v>
      </c>
      <c r="F181" t="s">
        <v>5</v>
      </c>
    </row>
    <row r="182" spans="5:6">
      <c r="E182" t="s">
        <v>189</v>
      </c>
      <c r="F182" t="s">
        <v>7</v>
      </c>
    </row>
    <row r="183" spans="5:6">
      <c r="E183" t="s">
        <v>190</v>
      </c>
      <c r="F183" t="s">
        <v>12</v>
      </c>
    </row>
    <row r="184" spans="5:6">
      <c r="E184" t="s">
        <v>191</v>
      </c>
      <c r="F184" t="s">
        <v>12</v>
      </c>
    </row>
    <row r="185" spans="5:6">
      <c r="E185" t="s">
        <v>192</v>
      </c>
      <c r="F185" t="s">
        <v>7</v>
      </c>
    </row>
    <row r="186" spans="5:6">
      <c r="E186" t="s">
        <v>193</v>
      </c>
      <c r="F186" t="s">
        <v>12</v>
      </c>
    </row>
    <row r="187" spans="5:6">
      <c r="E187" t="s">
        <v>194</v>
      </c>
      <c r="F187" t="s">
        <v>10</v>
      </c>
    </row>
    <row r="188" spans="5:6">
      <c r="E188" t="s">
        <v>195</v>
      </c>
      <c r="F188" t="s">
        <v>12</v>
      </c>
    </row>
    <row r="189" spans="5:6">
      <c r="E189" t="s">
        <v>196</v>
      </c>
      <c r="F189" t="s">
        <v>7</v>
      </c>
    </row>
    <row r="190" spans="5:6">
      <c r="E190" t="s">
        <v>197</v>
      </c>
      <c r="F190" t="s">
        <v>12</v>
      </c>
    </row>
    <row r="191" spans="5:6">
      <c r="E191" t="s">
        <v>198</v>
      </c>
      <c r="F191" t="s">
        <v>12</v>
      </c>
    </row>
    <row r="192" spans="5:6">
      <c r="E192" t="s">
        <v>199</v>
      </c>
      <c r="F192" t="s">
        <v>12</v>
      </c>
    </row>
    <row r="193" spans="5:6">
      <c r="E193" t="s">
        <v>200</v>
      </c>
      <c r="F193" t="s">
        <v>5</v>
      </c>
    </row>
    <row r="194" spans="5:6">
      <c r="E194" t="s">
        <v>201</v>
      </c>
      <c r="F194" t="s">
        <v>8</v>
      </c>
    </row>
    <row r="195" spans="5:6">
      <c r="E195" t="s">
        <v>202</v>
      </c>
      <c r="F195" t="s">
        <v>7</v>
      </c>
    </row>
    <row r="196" spans="5:6">
      <c r="E196" t="s">
        <v>203</v>
      </c>
      <c r="F196" t="s">
        <v>8</v>
      </c>
    </row>
    <row r="197" spans="5:6">
      <c r="E197" t="s">
        <v>204</v>
      </c>
      <c r="F197" t="s">
        <v>5</v>
      </c>
    </row>
    <row r="198" spans="5:6">
      <c r="E198" t="s">
        <v>205</v>
      </c>
      <c r="F198" t="s">
        <v>12</v>
      </c>
    </row>
    <row r="199" spans="5:6">
      <c r="E199" t="s">
        <v>206</v>
      </c>
      <c r="F199" t="s">
        <v>10</v>
      </c>
    </row>
    <row r="200" spans="5:6">
      <c r="E200" t="s">
        <v>207</v>
      </c>
      <c r="F200" t="s">
        <v>8</v>
      </c>
    </row>
    <row r="201" spans="5:6">
      <c r="E201" t="s">
        <v>208</v>
      </c>
      <c r="F201" t="s">
        <v>5</v>
      </c>
    </row>
    <row r="202" spans="5:6">
      <c r="E202" t="s">
        <v>209</v>
      </c>
      <c r="F202" t="s">
        <v>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0875-0609-49B2-A6E1-94D4D40EDE17}">
  <dimension ref="A1:O24"/>
  <sheetViews>
    <sheetView workbookViewId="0">
      <selection activeCell="O7" sqref="O7"/>
    </sheetView>
  </sheetViews>
  <sheetFormatPr defaultRowHeight="14.45"/>
  <cols>
    <col min="1" max="1" width="8.140625" bestFit="1" customWidth="1"/>
    <col min="2" max="2" width="16.5703125" customWidth="1"/>
    <col min="3" max="3" width="12.140625" bestFit="1" customWidth="1"/>
    <col min="4" max="4" width="11.85546875" bestFit="1" customWidth="1"/>
    <col min="5" max="5" width="12.140625" bestFit="1" customWidth="1"/>
    <col min="6" max="6" width="8.85546875" bestFit="1" customWidth="1"/>
    <col min="7" max="7" width="8.140625" bestFit="1" customWidth="1"/>
    <col min="8" max="8" width="9.140625" bestFit="1" customWidth="1"/>
    <col min="9" max="9" width="6.28515625" bestFit="1" customWidth="1"/>
    <col min="10" max="10" width="6.5703125" bestFit="1" customWidth="1"/>
    <col min="11" max="11" width="9.140625" bestFit="1" customWidth="1"/>
    <col min="12" max="12" width="14.85546875" customWidth="1"/>
    <col min="13" max="13" width="8.140625" bestFit="1" customWidth="1"/>
    <col min="15" max="15" width="6.7109375" bestFit="1" customWidth="1"/>
  </cols>
  <sheetData>
    <row r="1" spans="1:15" ht="43.15">
      <c r="A1" s="2" t="s">
        <v>4</v>
      </c>
      <c r="B1" s="2" t="s">
        <v>210</v>
      </c>
      <c r="C1" s="2" t="s">
        <v>211</v>
      </c>
      <c r="D1" s="2" t="s">
        <v>212</v>
      </c>
      <c r="E1" s="2" t="s">
        <v>213</v>
      </c>
      <c r="F1" s="2" t="s">
        <v>214</v>
      </c>
      <c r="G1" s="2" t="s">
        <v>215</v>
      </c>
      <c r="H1" s="2" t="s">
        <v>216</v>
      </c>
      <c r="I1" s="2" t="s">
        <v>217</v>
      </c>
      <c r="J1" s="2" t="s">
        <v>218</v>
      </c>
      <c r="K1" s="2" t="s">
        <v>2</v>
      </c>
      <c r="L1" s="2" t="s">
        <v>219</v>
      </c>
      <c r="M1" s="2" t="s">
        <v>220</v>
      </c>
      <c r="N1" s="2" t="s">
        <v>221</v>
      </c>
      <c r="O1" s="2" t="s">
        <v>222</v>
      </c>
    </row>
    <row r="2" spans="1:15" ht="28.9">
      <c r="A2" s="3" t="s">
        <v>223</v>
      </c>
      <c r="B2" s="3" t="s">
        <v>224</v>
      </c>
      <c r="C2" s="3" t="s">
        <v>225</v>
      </c>
      <c r="D2" s="3" t="s">
        <v>226</v>
      </c>
      <c r="E2" s="3">
        <v>96</v>
      </c>
      <c r="F2" s="3">
        <v>1.99</v>
      </c>
      <c r="G2" s="3">
        <v>191.04</v>
      </c>
      <c r="H2" s="3">
        <v>77.63</v>
      </c>
      <c r="I2" s="3">
        <v>113.41</v>
      </c>
      <c r="J2" s="3" t="str">
        <f t="shared" ref="J2:J24" si="0">_xlfn.TEXTBEFORE($B2,",")</f>
        <v>North</v>
      </c>
      <c r="K2" s="3" t="str">
        <f t="shared" ref="K2:K24" si="1">_xlfn.TEXTAFTER($B2,",")</f>
        <v>Sugar</v>
      </c>
      <c r="L2" s="3" t="str">
        <f t="shared" ref="L2:L24" si="2">IF(LOWER(TRIM($C2))="farmer's market","Farmer's Market",PROPER(TRIM($C2)))</f>
        <v>Grocery Store</v>
      </c>
      <c r="M2" s="4">
        <f t="shared" ref="M2:M24" si="3">IF($E2="",ROUND($G2/$F2,0), $E2)</f>
        <v>96</v>
      </c>
      <c r="N2" s="3" t="str">
        <f t="shared" ref="N2:N24" si="4">TEXT(DATE(LEFT($D2,4),MID($D2,6,2),1),"mmmm")</f>
        <v>January</v>
      </c>
      <c r="O2" s="5">
        <f t="shared" ref="O2:O24" si="5">IF($G2=0,"",$I2/$G2)</f>
        <v>0.59364530988274711</v>
      </c>
    </row>
    <row r="3" spans="1:15" ht="28.9">
      <c r="A3" s="3" t="s">
        <v>227</v>
      </c>
      <c r="B3" s="3" t="s">
        <v>228</v>
      </c>
      <c r="C3" s="3" t="s">
        <v>229</v>
      </c>
      <c r="D3" s="3" t="s">
        <v>230</v>
      </c>
      <c r="E3" s="3">
        <v>372</v>
      </c>
      <c r="F3" s="3">
        <v>2.4900000000000002</v>
      </c>
      <c r="G3" s="3">
        <v>926.28</v>
      </c>
      <c r="H3" s="3">
        <v>378.73</v>
      </c>
      <c r="I3" s="3">
        <v>547.54999999999995</v>
      </c>
      <c r="J3" s="3" t="str">
        <f t="shared" si="0"/>
        <v>West</v>
      </c>
      <c r="K3" s="3" t="str">
        <f t="shared" si="1"/>
        <v>Chocolate Chip</v>
      </c>
      <c r="L3" s="3" t="str">
        <f t="shared" si="2"/>
        <v>Farmer's Market</v>
      </c>
      <c r="M3" s="4">
        <f t="shared" si="3"/>
        <v>372</v>
      </c>
      <c r="N3" s="3" t="str">
        <f t="shared" si="4"/>
        <v>September</v>
      </c>
      <c r="O3" s="5">
        <f t="shared" si="5"/>
        <v>0.59112795267089857</v>
      </c>
    </row>
    <row r="4" spans="1:15" ht="28.9">
      <c r="A4" s="3" t="s">
        <v>231</v>
      </c>
      <c r="B4" s="3" t="s">
        <v>232</v>
      </c>
      <c r="C4" s="3" t="s">
        <v>233</v>
      </c>
      <c r="D4" s="3" t="s">
        <v>234</v>
      </c>
      <c r="E4" s="3">
        <v>181</v>
      </c>
      <c r="F4" s="3">
        <v>1.99</v>
      </c>
      <c r="G4" s="3">
        <v>360.19</v>
      </c>
      <c r="H4" s="3">
        <v>147.96</v>
      </c>
      <c r="I4" s="3">
        <v>212.23</v>
      </c>
      <c r="J4" s="3" t="str">
        <f t="shared" si="0"/>
        <v>South</v>
      </c>
      <c r="K4" s="3" t="str">
        <f t="shared" si="1"/>
        <v>Peanut Butter</v>
      </c>
      <c r="L4" s="3" t="str">
        <f t="shared" si="2"/>
        <v>Grocery Store</v>
      </c>
      <c r="M4" s="4">
        <f t="shared" si="3"/>
        <v>181</v>
      </c>
      <c r="N4" s="3" t="str">
        <f t="shared" si="4"/>
        <v>April</v>
      </c>
      <c r="O4" s="5">
        <f t="shared" si="5"/>
        <v>0.58921680224326045</v>
      </c>
    </row>
    <row r="5" spans="1:15" ht="28.9">
      <c r="A5" s="3" t="s">
        <v>235</v>
      </c>
      <c r="B5" s="3" t="s">
        <v>236</v>
      </c>
      <c r="C5" s="3" t="s">
        <v>237</v>
      </c>
      <c r="D5" s="3" t="s">
        <v>238</v>
      </c>
      <c r="E5" s="3"/>
      <c r="F5" s="3">
        <v>1.99</v>
      </c>
      <c r="G5" s="3">
        <v>79.599999999999994</v>
      </c>
      <c r="H5" s="3">
        <v>35.74</v>
      </c>
      <c r="I5" s="3">
        <v>43.86</v>
      </c>
      <c r="J5" s="3" t="str">
        <f t="shared" si="0"/>
        <v>East</v>
      </c>
      <c r="K5" s="3" t="str">
        <f t="shared" si="1"/>
        <v>Sugar</v>
      </c>
      <c r="L5" s="3" t="str">
        <f t="shared" si="2"/>
        <v>Corporate Event</v>
      </c>
      <c r="M5" s="4">
        <f t="shared" si="3"/>
        <v>40</v>
      </c>
      <c r="N5" s="3" t="str">
        <f t="shared" si="4"/>
        <v>October</v>
      </c>
      <c r="O5" s="5">
        <f t="shared" si="5"/>
        <v>0.55100502512562821</v>
      </c>
    </row>
    <row r="6" spans="1:15" ht="28.9">
      <c r="A6" s="3" t="s">
        <v>239</v>
      </c>
      <c r="B6" s="3" t="s">
        <v>240</v>
      </c>
      <c r="C6" s="3" t="s">
        <v>233</v>
      </c>
      <c r="D6" s="3" t="s">
        <v>241</v>
      </c>
      <c r="E6" s="3">
        <v>329</v>
      </c>
      <c r="F6" s="3">
        <v>2.99</v>
      </c>
      <c r="G6" s="3">
        <v>983.71</v>
      </c>
      <c r="H6" s="3">
        <v>488.01</v>
      </c>
      <c r="I6" s="3">
        <v>495.7</v>
      </c>
      <c r="J6" s="3" t="str">
        <f t="shared" si="0"/>
        <v>East</v>
      </c>
      <c r="K6" s="3" t="str">
        <f t="shared" si="1"/>
        <v>Oatmeal Raisin</v>
      </c>
      <c r="L6" s="3" t="str">
        <f t="shared" si="2"/>
        <v>Grocery Store</v>
      </c>
      <c r="M6" s="4">
        <f t="shared" si="3"/>
        <v>329</v>
      </c>
      <c r="N6" s="3" t="str">
        <f t="shared" si="4"/>
        <v>December</v>
      </c>
      <c r="O6" s="5">
        <f t="shared" si="5"/>
        <v>0.50390867227129943</v>
      </c>
    </row>
    <row r="7" spans="1:15" ht="28.9">
      <c r="A7" s="3" t="s">
        <v>242</v>
      </c>
      <c r="B7" s="3" t="s">
        <v>243</v>
      </c>
      <c r="C7" s="3" t="s">
        <v>233</v>
      </c>
      <c r="D7" s="3" t="s">
        <v>226</v>
      </c>
      <c r="E7" s="3">
        <v>264</v>
      </c>
      <c r="F7" s="3">
        <v>3.49</v>
      </c>
      <c r="G7" s="3">
        <v>921.36</v>
      </c>
      <c r="H7" s="3">
        <v>478.78</v>
      </c>
      <c r="I7" s="3">
        <v>442.58</v>
      </c>
      <c r="J7" s="3" t="str">
        <f t="shared" si="0"/>
        <v>East</v>
      </c>
      <c r="K7" s="3" t="str">
        <f t="shared" si="1"/>
        <v>Macadamia Nut</v>
      </c>
      <c r="L7" s="3" t="str">
        <f t="shared" si="2"/>
        <v>Grocery Store</v>
      </c>
      <c r="M7" s="4">
        <f t="shared" si="3"/>
        <v>264</v>
      </c>
      <c r="N7" s="3" t="str">
        <f t="shared" si="4"/>
        <v>January</v>
      </c>
      <c r="O7" s="5">
        <f t="shared" si="5"/>
        <v>0.48035512720326473</v>
      </c>
    </row>
    <row r="8" spans="1:15" ht="28.9">
      <c r="A8" s="3" t="s">
        <v>244</v>
      </c>
      <c r="B8" s="3" t="s">
        <v>245</v>
      </c>
      <c r="C8" s="3" t="s">
        <v>233</v>
      </c>
      <c r="D8" s="3" t="s">
        <v>234</v>
      </c>
      <c r="E8" s="3"/>
      <c r="F8" s="3">
        <v>3.49</v>
      </c>
      <c r="G8" s="3">
        <v>561.89</v>
      </c>
      <c r="H8" s="3">
        <v>294.16000000000003</v>
      </c>
      <c r="I8" s="3">
        <v>267.73</v>
      </c>
      <c r="J8" s="3" t="str">
        <f t="shared" si="0"/>
        <v>South</v>
      </c>
      <c r="K8" s="3" t="str">
        <f t="shared" si="1"/>
        <v>Sugar</v>
      </c>
      <c r="L8" s="3" t="str">
        <f t="shared" si="2"/>
        <v>Grocery Store</v>
      </c>
      <c r="M8" s="4">
        <f t="shared" si="3"/>
        <v>161</v>
      </c>
      <c r="N8" s="3" t="str">
        <f t="shared" si="4"/>
        <v>April</v>
      </c>
      <c r="O8" s="5">
        <f t="shared" si="5"/>
        <v>0.47648116179323358</v>
      </c>
    </row>
    <row r="9" spans="1:15" ht="28.9">
      <c r="A9" s="3" t="s">
        <v>246</v>
      </c>
      <c r="B9" s="3" t="s">
        <v>247</v>
      </c>
      <c r="C9" s="3" t="s">
        <v>229</v>
      </c>
      <c r="D9" s="3" t="s">
        <v>241</v>
      </c>
      <c r="E9" s="3">
        <v>330</v>
      </c>
      <c r="F9" s="3">
        <v>2.99</v>
      </c>
      <c r="G9" s="3">
        <v>986.7</v>
      </c>
      <c r="H9" s="3">
        <v>518.04999999999995</v>
      </c>
      <c r="I9" s="3">
        <v>468.65</v>
      </c>
      <c r="J9" s="3" t="str">
        <f t="shared" si="0"/>
        <v>West</v>
      </c>
      <c r="K9" s="3" t="str">
        <f t="shared" si="1"/>
        <v>Sugar</v>
      </c>
      <c r="L9" s="3" t="str">
        <f t="shared" si="2"/>
        <v>Farmer's Market</v>
      </c>
      <c r="M9" s="4">
        <f t="shared" si="3"/>
        <v>330</v>
      </c>
      <c r="N9" s="3" t="str">
        <f t="shared" si="4"/>
        <v>December</v>
      </c>
      <c r="O9" s="5">
        <f t="shared" si="5"/>
        <v>0.47496706192358362</v>
      </c>
    </row>
    <row r="10" spans="1:15" ht="28.9">
      <c r="A10" s="3" t="s">
        <v>246</v>
      </c>
      <c r="B10" s="3" t="s">
        <v>247</v>
      </c>
      <c r="C10" s="3" t="s">
        <v>229</v>
      </c>
      <c r="D10" s="3" t="s">
        <v>241</v>
      </c>
      <c r="E10" s="3">
        <v>330</v>
      </c>
      <c r="F10" s="3">
        <v>2.99</v>
      </c>
      <c r="G10" s="3">
        <v>986.7</v>
      </c>
      <c r="H10" s="3">
        <v>518.04999999999995</v>
      </c>
      <c r="I10" s="3">
        <v>468.65</v>
      </c>
      <c r="J10" s="3" t="str">
        <f t="shared" si="0"/>
        <v>West</v>
      </c>
      <c r="K10" s="3" t="str">
        <f t="shared" si="1"/>
        <v>Sugar</v>
      </c>
      <c r="L10" s="3" t="str">
        <f t="shared" si="2"/>
        <v>Farmer's Market</v>
      </c>
      <c r="M10" s="4">
        <f t="shared" si="3"/>
        <v>330</v>
      </c>
      <c r="N10" s="3" t="str">
        <f t="shared" si="4"/>
        <v>December</v>
      </c>
      <c r="O10" s="5">
        <f t="shared" si="5"/>
        <v>0.47496706192358362</v>
      </c>
    </row>
    <row r="11" spans="1:15" ht="28.9">
      <c r="A11" s="3" t="s">
        <v>248</v>
      </c>
      <c r="B11" s="3" t="s">
        <v>249</v>
      </c>
      <c r="C11" s="3" t="s">
        <v>250</v>
      </c>
      <c r="D11" s="3" t="s">
        <v>251</v>
      </c>
      <c r="E11" s="3">
        <v>307</v>
      </c>
      <c r="F11" s="3">
        <v>1.99</v>
      </c>
      <c r="G11" s="3">
        <v>610.92999999999995</v>
      </c>
      <c r="H11" s="3">
        <v>336.2</v>
      </c>
      <c r="I11" s="3">
        <v>274.73</v>
      </c>
      <c r="J11" s="3" t="str">
        <f t="shared" si="0"/>
        <v>North</v>
      </c>
      <c r="K11" s="3" t="str">
        <f t="shared" si="1"/>
        <v>Oatmeal Raisin</v>
      </c>
      <c r="L11" s="3" t="str">
        <f t="shared" si="2"/>
        <v>Online Order</v>
      </c>
      <c r="M11" s="4">
        <f t="shared" si="3"/>
        <v>307</v>
      </c>
      <c r="N11" s="3" t="str">
        <f t="shared" si="4"/>
        <v>November</v>
      </c>
      <c r="O11" s="5">
        <f t="shared" si="5"/>
        <v>0.44969145401273475</v>
      </c>
    </row>
    <row r="12" spans="1:15" ht="28.9">
      <c r="A12" s="3" t="s">
        <v>248</v>
      </c>
      <c r="B12" s="3" t="s">
        <v>249</v>
      </c>
      <c r="C12" s="3" t="s">
        <v>250</v>
      </c>
      <c r="D12" s="3" t="s">
        <v>251</v>
      </c>
      <c r="E12" s="3">
        <v>307</v>
      </c>
      <c r="F12" s="3">
        <v>1.99</v>
      </c>
      <c r="G12" s="3">
        <v>610.92999999999995</v>
      </c>
      <c r="H12" s="3">
        <v>336.2</v>
      </c>
      <c r="I12" s="3">
        <v>274.73</v>
      </c>
      <c r="J12" s="3" t="str">
        <f t="shared" si="0"/>
        <v>North</v>
      </c>
      <c r="K12" s="3" t="str">
        <f t="shared" si="1"/>
        <v>Oatmeal Raisin</v>
      </c>
      <c r="L12" s="3" t="str">
        <f t="shared" si="2"/>
        <v>Online Order</v>
      </c>
      <c r="M12" s="4">
        <f t="shared" si="3"/>
        <v>307</v>
      </c>
      <c r="N12" s="3" t="str">
        <f t="shared" si="4"/>
        <v>November</v>
      </c>
      <c r="O12" s="5">
        <f t="shared" si="5"/>
        <v>0.44969145401273475</v>
      </c>
    </row>
    <row r="13" spans="1:15" ht="28.9">
      <c r="A13" s="3" t="s">
        <v>252</v>
      </c>
      <c r="B13" s="3" t="s">
        <v>245</v>
      </c>
      <c r="C13" s="3" t="s">
        <v>253</v>
      </c>
      <c r="D13" s="3" t="s">
        <v>230</v>
      </c>
      <c r="E13" s="3">
        <v>369</v>
      </c>
      <c r="F13" s="3">
        <v>1.99</v>
      </c>
      <c r="G13" s="3">
        <v>734.31</v>
      </c>
      <c r="H13" s="3">
        <v>406.67</v>
      </c>
      <c r="I13" s="3">
        <v>327.64</v>
      </c>
      <c r="J13" s="3" t="str">
        <f t="shared" si="0"/>
        <v>South</v>
      </c>
      <c r="K13" s="3" t="str">
        <f t="shared" si="1"/>
        <v>Sugar</v>
      </c>
      <c r="L13" s="3" t="str">
        <f t="shared" si="2"/>
        <v>Corporate Event</v>
      </c>
      <c r="M13" s="4">
        <f t="shared" si="3"/>
        <v>369</v>
      </c>
      <c r="N13" s="3" t="str">
        <f t="shared" si="4"/>
        <v>September</v>
      </c>
      <c r="O13" s="5">
        <f t="shared" si="5"/>
        <v>0.446187577453664</v>
      </c>
    </row>
    <row r="14" spans="1:15" ht="28.9">
      <c r="A14" s="3" t="s">
        <v>254</v>
      </c>
      <c r="B14" s="3" t="s">
        <v>255</v>
      </c>
      <c r="C14" s="3" t="s">
        <v>256</v>
      </c>
      <c r="D14" s="3" t="s">
        <v>234</v>
      </c>
      <c r="E14" s="3">
        <v>353</v>
      </c>
      <c r="F14" s="3">
        <v>1.99</v>
      </c>
      <c r="G14" s="3">
        <v>702.47</v>
      </c>
      <c r="H14" s="3">
        <v>408.24</v>
      </c>
      <c r="I14" s="3">
        <v>294.23</v>
      </c>
      <c r="J14" s="3" t="str">
        <f t="shared" si="0"/>
        <v>South</v>
      </c>
      <c r="K14" s="3" t="str">
        <f t="shared" si="1"/>
        <v>Oatmeal Raisin</v>
      </c>
      <c r="L14" s="3" t="str">
        <f t="shared" si="2"/>
        <v>Cafe</v>
      </c>
      <c r="M14" s="4">
        <f t="shared" si="3"/>
        <v>353</v>
      </c>
      <c r="N14" s="3" t="str">
        <f t="shared" si="4"/>
        <v>April</v>
      </c>
      <c r="O14" s="5">
        <f t="shared" si="5"/>
        <v>0.41885062707304227</v>
      </c>
    </row>
    <row r="15" spans="1:15" ht="28.9">
      <c r="A15" s="3" t="s">
        <v>257</v>
      </c>
      <c r="B15" s="3" t="s">
        <v>258</v>
      </c>
      <c r="C15" s="3" t="s">
        <v>253</v>
      </c>
      <c r="D15" s="3" t="s">
        <v>259</v>
      </c>
      <c r="E15" s="3">
        <v>278</v>
      </c>
      <c r="F15" s="3">
        <v>2.4900000000000002</v>
      </c>
      <c r="G15" s="3">
        <v>692.22</v>
      </c>
      <c r="H15" s="3">
        <v>404.11</v>
      </c>
      <c r="I15" s="3">
        <v>288.11</v>
      </c>
      <c r="J15" s="3" t="str">
        <f t="shared" si="0"/>
        <v>East</v>
      </c>
      <c r="K15" s="3" t="str">
        <f t="shared" si="1"/>
        <v>Peanut Butter</v>
      </c>
      <c r="L15" s="3" t="str">
        <f t="shared" si="2"/>
        <v>Corporate Event</v>
      </c>
      <c r="M15" s="4">
        <f t="shared" si="3"/>
        <v>278</v>
      </c>
      <c r="N15" s="3" t="str">
        <f t="shared" si="4"/>
        <v>March</v>
      </c>
      <c r="O15" s="5">
        <f t="shared" si="5"/>
        <v>0.41621160902603221</v>
      </c>
    </row>
    <row r="16" spans="1:15" ht="28.9">
      <c r="A16" s="3" t="s">
        <v>260</v>
      </c>
      <c r="B16" s="3" t="s">
        <v>258</v>
      </c>
      <c r="C16" s="3" t="s">
        <v>253</v>
      </c>
      <c r="D16" s="3" t="s">
        <v>238</v>
      </c>
      <c r="E16" s="3">
        <v>279</v>
      </c>
      <c r="F16" s="3">
        <v>3.99</v>
      </c>
      <c r="G16" s="3">
        <v>1113.21</v>
      </c>
      <c r="H16" s="3">
        <v>650.25</v>
      </c>
      <c r="I16" s="3">
        <v>462.96</v>
      </c>
      <c r="J16" s="3" t="str">
        <f t="shared" si="0"/>
        <v>East</v>
      </c>
      <c r="K16" s="3" t="str">
        <f t="shared" si="1"/>
        <v>Peanut Butter</v>
      </c>
      <c r="L16" s="3" t="str">
        <f t="shared" si="2"/>
        <v>Corporate Event</v>
      </c>
      <c r="M16" s="4">
        <f t="shared" si="3"/>
        <v>279</v>
      </c>
      <c r="N16" s="3" t="str">
        <f t="shared" si="4"/>
        <v>October</v>
      </c>
      <c r="O16" s="5">
        <f t="shared" si="5"/>
        <v>0.41587840569164847</v>
      </c>
    </row>
    <row r="17" spans="1:15" ht="28.9">
      <c r="A17" s="3" t="s">
        <v>261</v>
      </c>
      <c r="B17" s="3" t="s">
        <v>262</v>
      </c>
      <c r="C17" s="3" t="s">
        <v>233</v>
      </c>
      <c r="D17" s="3" t="s">
        <v>259</v>
      </c>
      <c r="E17" s="3">
        <v>295</v>
      </c>
      <c r="F17" s="3">
        <v>3.49</v>
      </c>
      <c r="G17" s="3">
        <v>1029.55</v>
      </c>
      <c r="H17" s="3">
        <v>601.9</v>
      </c>
      <c r="I17" s="3">
        <v>427.65</v>
      </c>
      <c r="J17" s="3" t="str">
        <f t="shared" si="0"/>
        <v>North</v>
      </c>
      <c r="K17" s="3" t="str">
        <f t="shared" si="1"/>
        <v>Peanut Butter</v>
      </c>
      <c r="L17" s="3" t="str">
        <f t="shared" si="2"/>
        <v>Grocery Store</v>
      </c>
      <c r="M17" s="4">
        <f t="shared" si="3"/>
        <v>295</v>
      </c>
      <c r="N17" s="3" t="str">
        <f t="shared" si="4"/>
        <v>March</v>
      </c>
      <c r="O17" s="5">
        <f t="shared" si="5"/>
        <v>0.41537564955563111</v>
      </c>
    </row>
    <row r="18" spans="1:15" ht="28.9">
      <c r="A18" s="3" t="s">
        <v>263</v>
      </c>
      <c r="B18" s="3" t="s">
        <v>255</v>
      </c>
      <c r="C18" s="3" t="s">
        <v>229</v>
      </c>
      <c r="D18" s="3" t="s">
        <v>264</v>
      </c>
      <c r="E18" s="3">
        <v>15</v>
      </c>
      <c r="F18" s="3">
        <v>3.99</v>
      </c>
      <c r="G18" s="3">
        <v>59.85</v>
      </c>
      <c r="H18" s="3">
        <v>35.36</v>
      </c>
      <c r="I18" s="3">
        <v>24.49</v>
      </c>
      <c r="J18" s="3" t="str">
        <f t="shared" si="0"/>
        <v>South</v>
      </c>
      <c r="K18" s="3" t="str">
        <f t="shared" si="1"/>
        <v>Oatmeal Raisin</v>
      </c>
      <c r="L18" s="3" t="str">
        <f t="shared" si="2"/>
        <v>Farmer's Market</v>
      </c>
      <c r="M18" s="4">
        <f t="shared" si="3"/>
        <v>15</v>
      </c>
      <c r="N18" s="3" t="str">
        <f t="shared" si="4"/>
        <v>June</v>
      </c>
      <c r="O18" s="5">
        <f t="shared" si="5"/>
        <v>0.4091896407685881</v>
      </c>
    </row>
    <row r="19" spans="1:15" ht="28.9">
      <c r="A19" s="3" t="s">
        <v>265</v>
      </c>
      <c r="B19" s="3" t="s">
        <v>243</v>
      </c>
      <c r="C19" s="3" t="s">
        <v>229</v>
      </c>
      <c r="D19" s="3" t="s">
        <v>259</v>
      </c>
      <c r="E19" s="3">
        <v>107</v>
      </c>
      <c r="F19" s="3">
        <v>1.99</v>
      </c>
      <c r="G19" s="3">
        <v>212.93</v>
      </c>
      <c r="H19" s="3">
        <v>133.57</v>
      </c>
      <c r="I19" s="3">
        <v>79.36</v>
      </c>
      <c r="J19" s="3" t="str">
        <f t="shared" si="0"/>
        <v>East</v>
      </c>
      <c r="K19" s="3" t="str">
        <f t="shared" si="1"/>
        <v>Macadamia Nut</v>
      </c>
      <c r="L19" s="3" t="str">
        <f t="shared" si="2"/>
        <v>Farmer's Market</v>
      </c>
      <c r="M19" s="4">
        <f t="shared" si="3"/>
        <v>107</v>
      </c>
      <c r="N19" s="3" t="str">
        <f t="shared" si="4"/>
        <v>March</v>
      </c>
      <c r="O19" s="5">
        <f t="shared" si="5"/>
        <v>0.37270464471892167</v>
      </c>
    </row>
    <row r="20" spans="1:15" ht="28.9">
      <c r="A20" s="3" t="s">
        <v>266</v>
      </c>
      <c r="B20" s="3" t="s">
        <v>267</v>
      </c>
      <c r="C20" s="3" t="s">
        <v>253</v>
      </c>
      <c r="D20" s="3" t="s">
        <v>234</v>
      </c>
      <c r="E20" s="3">
        <v>177</v>
      </c>
      <c r="F20" s="3">
        <v>3.99</v>
      </c>
      <c r="G20" s="3">
        <v>706.23</v>
      </c>
      <c r="H20" s="3">
        <v>456.02</v>
      </c>
      <c r="I20" s="3">
        <v>250.21</v>
      </c>
      <c r="J20" s="3" t="str">
        <f t="shared" si="0"/>
        <v>West</v>
      </c>
      <c r="K20" s="3" t="str">
        <f t="shared" si="1"/>
        <v>Macadamia Nut</v>
      </c>
      <c r="L20" s="3" t="str">
        <f t="shared" si="2"/>
        <v>Corporate Event</v>
      </c>
      <c r="M20" s="4">
        <f t="shared" si="3"/>
        <v>177</v>
      </c>
      <c r="N20" s="3" t="str">
        <f t="shared" si="4"/>
        <v>April</v>
      </c>
      <c r="O20" s="5">
        <f t="shared" si="5"/>
        <v>0.35428967899975927</v>
      </c>
    </row>
    <row r="21" spans="1:15" ht="28.9">
      <c r="A21" s="3" t="s">
        <v>268</v>
      </c>
      <c r="B21" s="3" t="s">
        <v>224</v>
      </c>
      <c r="C21" s="3" t="s">
        <v>233</v>
      </c>
      <c r="D21" s="3" t="s">
        <v>269</v>
      </c>
      <c r="E21" s="3">
        <v>159</v>
      </c>
      <c r="F21" s="3">
        <v>3.49</v>
      </c>
      <c r="G21" s="3">
        <v>554.91</v>
      </c>
      <c r="H21" s="3">
        <v>360.5</v>
      </c>
      <c r="I21" s="3">
        <v>194.41</v>
      </c>
      <c r="J21" s="3" t="str">
        <f t="shared" si="0"/>
        <v>North</v>
      </c>
      <c r="K21" s="3" t="str">
        <f t="shared" si="1"/>
        <v>Sugar</v>
      </c>
      <c r="L21" s="3" t="str">
        <f t="shared" si="2"/>
        <v>Grocery Store</v>
      </c>
      <c r="M21" s="4">
        <f t="shared" si="3"/>
        <v>159</v>
      </c>
      <c r="N21" s="3" t="str">
        <f t="shared" si="4"/>
        <v>February</v>
      </c>
      <c r="O21" s="5">
        <f t="shared" si="5"/>
        <v>0.3503451010073706</v>
      </c>
    </row>
    <row r="22" spans="1:15" ht="28.9">
      <c r="A22" s="3" t="s">
        <v>270</v>
      </c>
      <c r="B22" s="3" t="s">
        <v>255</v>
      </c>
      <c r="C22" s="3" t="s">
        <v>253</v>
      </c>
      <c r="D22" s="3" t="s">
        <v>271</v>
      </c>
      <c r="E22" s="3">
        <v>21</v>
      </c>
      <c r="F22" s="3">
        <v>3.99</v>
      </c>
      <c r="G22" s="3">
        <v>83.79</v>
      </c>
      <c r="H22" s="3">
        <v>54.49</v>
      </c>
      <c r="I22" s="3">
        <v>29.3</v>
      </c>
      <c r="J22" s="3" t="str">
        <f t="shared" si="0"/>
        <v>South</v>
      </c>
      <c r="K22" s="3" t="str">
        <f t="shared" si="1"/>
        <v>Oatmeal Raisin</v>
      </c>
      <c r="L22" s="3" t="str">
        <f t="shared" si="2"/>
        <v>Corporate Event</v>
      </c>
      <c r="M22" s="4">
        <f t="shared" si="3"/>
        <v>21</v>
      </c>
      <c r="N22" s="3" t="str">
        <f t="shared" si="4"/>
        <v>May</v>
      </c>
      <c r="O22" s="5">
        <f t="shared" si="5"/>
        <v>0.34968373314237972</v>
      </c>
    </row>
    <row r="23" spans="1:15" ht="28.9">
      <c r="A23" s="3" t="s">
        <v>272</v>
      </c>
      <c r="B23" s="3" t="s">
        <v>273</v>
      </c>
      <c r="C23" s="3" t="s">
        <v>274</v>
      </c>
      <c r="D23" s="3" t="s">
        <v>238</v>
      </c>
      <c r="E23" s="3">
        <v>266</v>
      </c>
      <c r="F23" s="3">
        <v>3.49</v>
      </c>
      <c r="G23" s="3">
        <v>928.34</v>
      </c>
      <c r="H23" s="3">
        <v>611.96</v>
      </c>
      <c r="I23" s="3">
        <v>316.38</v>
      </c>
      <c r="J23" s="3" t="str">
        <f t="shared" si="0"/>
        <v>North</v>
      </c>
      <c r="K23" s="3" t="str">
        <f t="shared" si="1"/>
        <v>Chocolate Chip</v>
      </c>
      <c r="L23" s="3" t="str">
        <f t="shared" si="2"/>
        <v>Online Order</v>
      </c>
      <c r="M23" s="4">
        <f t="shared" si="3"/>
        <v>266</v>
      </c>
      <c r="N23" s="3" t="str">
        <f t="shared" si="4"/>
        <v>October</v>
      </c>
      <c r="O23" s="5">
        <f t="shared" si="5"/>
        <v>0.34080186138699181</v>
      </c>
    </row>
    <row r="24" spans="1:15" ht="28.9">
      <c r="A24" s="3" t="s">
        <v>275</v>
      </c>
      <c r="B24" s="3" t="s">
        <v>267</v>
      </c>
      <c r="C24" s="3" t="s">
        <v>253</v>
      </c>
      <c r="D24" s="3" t="s">
        <v>276</v>
      </c>
      <c r="E24" s="3">
        <v>362</v>
      </c>
      <c r="F24" s="3">
        <v>3.49</v>
      </c>
      <c r="G24" s="3">
        <v>1263.3800000000001</v>
      </c>
      <c r="H24" s="3">
        <v>853.72</v>
      </c>
      <c r="I24" s="3">
        <v>409.66</v>
      </c>
      <c r="J24" s="3" t="str">
        <f t="shared" si="0"/>
        <v>West</v>
      </c>
      <c r="K24" s="3" t="str">
        <f t="shared" si="1"/>
        <v>Macadamia Nut</v>
      </c>
      <c r="L24" s="3" t="str">
        <f t="shared" si="2"/>
        <v>Corporate Event</v>
      </c>
      <c r="M24" s="4">
        <f t="shared" si="3"/>
        <v>362</v>
      </c>
      <c r="N24" s="3" t="str">
        <f t="shared" si="4"/>
        <v>August</v>
      </c>
      <c r="O24" s="5">
        <f t="shared" si="5"/>
        <v>0.32425715145086986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EBA1-88F2-4B55-87B6-A8F9FCD0B125}">
  <dimension ref="A1:A16"/>
  <sheetViews>
    <sheetView tabSelected="1" workbookViewId="0">
      <selection activeCell="F16" sqref="F16"/>
    </sheetView>
  </sheetViews>
  <sheetFormatPr defaultRowHeight="14.45"/>
  <cols>
    <col min="1" max="1" width="65.85546875" customWidth="1"/>
  </cols>
  <sheetData>
    <row r="1" spans="1:1">
      <c r="A1" s="2" t="s">
        <v>277</v>
      </c>
    </row>
    <row r="2" spans="1:1" ht="28.9">
      <c r="A2" s="3" t="s">
        <v>278</v>
      </c>
    </row>
    <row r="3" spans="1:1" ht="28.9">
      <c r="A3" s="3" t="s">
        <v>279</v>
      </c>
    </row>
    <row r="4" spans="1:1" ht="28.9">
      <c r="A4" s="3" t="s">
        <v>280</v>
      </c>
    </row>
    <row r="5" spans="1:1" ht="28.9">
      <c r="A5" s="3" t="s">
        <v>281</v>
      </c>
    </row>
    <row r="6" spans="1:1" ht="28.9">
      <c r="A6" s="3" t="s">
        <v>282</v>
      </c>
    </row>
    <row r="7" spans="1:1" ht="28.9">
      <c r="A7" s="3" t="s">
        <v>283</v>
      </c>
    </row>
    <row r="8" spans="1:1" ht="28.9">
      <c r="A8" s="3" t="s">
        <v>284</v>
      </c>
    </row>
    <row r="9" spans="1:1" ht="28.9">
      <c r="A9" s="3" t="s">
        <v>285</v>
      </c>
    </row>
    <row r="10" spans="1:1" ht="28.9">
      <c r="A10" s="3" t="s">
        <v>286</v>
      </c>
    </row>
    <row r="11" spans="1:1" ht="28.9">
      <c r="A11" s="3" t="s">
        <v>287</v>
      </c>
    </row>
    <row r="12" spans="1:1" ht="28.9">
      <c r="A12" s="3" t="s">
        <v>288</v>
      </c>
    </row>
    <row r="13" spans="1:1" ht="28.9">
      <c r="A13" s="3" t="s">
        <v>289</v>
      </c>
    </row>
    <row r="14" spans="1:1" ht="28.9">
      <c r="A14" s="3" t="s">
        <v>290</v>
      </c>
    </row>
    <row r="15" spans="1:1" ht="28.9">
      <c r="A15" s="3" t="s">
        <v>291</v>
      </c>
    </row>
    <row r="16" spans="1:1" ht="28.9">
      <c r="A16" s="3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Guest User</cp:lastModifiedBy>
  <cp:revision/>
  <dcterms:created xsi:type="dcterms:W3CDTF">2015-06-05T18:17:20Z</dcterms:created>
  <dcterms:modified xsi:type="dcterms:W3CDTF">2025-12-24T02:50:42Z</dcterms:modified>
  <cp:category/>
  <cp:contentStatus/>
</cp:coreProperties>
</file>